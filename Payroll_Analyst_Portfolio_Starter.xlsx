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Ranjith\Downloads\"/>
    </mc:Choice>
  </mc:AlternateContent>
  <xr:revisionPtr revIDLastSave="0" documentId="13_ncr:1_{87C84801-0EEA-4CEF-BB4D-64824B6F0D43}" xr6:coauthVersionLast="47" xr6:coauthVersionMax="47" xr10:uidLastSave="{00000000-0000-0000-0000-000000000000}"/>
  <bookViews>
    <workbookView xWindow="-110" yWindow="-110" windowWidth="19420" windowHeight="11500" activeTab="4" xr2:uid="{00000000-000D-0000-FFFF-FFFF00000000}"/>
  </bookViews>
  <sheets>
    <sheet name="Read Me" sheetId="1" r:id="rId1"/>
    <sheet name="Payroll Register" sheetId="2" r:id="rId2"/>
    <sheet name="Case Tracker" sheetId="3" r:id="rId3"/>
    <sheet name="Summary" sheetId="4" r:id="rId4"/>
    <sheet name="Dept Variance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" i="4" l="1"/>
  <c r="B8" i="4"/>
  <c r="B7" i="4"/>
  <c r="B2" i="4"/>
  <c r="J9" i="3"/>
  <c r="I9" i="3"/>
  <c r="F9" i="3"/>
  <c r="I8" i="3"/>
  <c r="J8" i="3" s="1"/>
  <c r="F8" i="3"/>
  <c r="I7" i="3"/>
  <c r="J7" i="3" s="1"/>
  <c r="F7" i="3"/>
  <c r="J6" i="3"/>
  <c r="I6" i="3"/>
  <c r="F6" i="3"/>
  <c r="I5" i="3"/>
  <c r="J5" i="3" s="1"/>
  <c r="F5" i="3"/>
  <c r="J4" i="3"/>
  <c r="I4" i="3"/>
  <c r="F4" i="3"/>
  <c r="I3" i="3"/>
  <c r="J3" i="3" s="1"/>
  <c r="F3" i="3"/>
  <c r="I2" i="3"/>
  <c r="J2" i="3" s="1"/>
  <c r="F2" i="3"/>
  <c r="G13" i="2"/>
  <c r="I13" i="2" s="1"/>
  <c r="J13" i="2" s="1"/>
  <c r="G12" i="2"/>
  <c r="I12" i="2" s="1"/>
  <c r="J12" i="2" s="1"/>
  <c r="I11" i="2"/>
  <c r="J11" i="2" s="1"/>
  <c r="G11" i="2"/>
  <c r="G10" i="2"/>
  <c r="I10" i="2" s="1"/>
  <c r="J10" i="2" s="1"/>
  <c r="G9" i="2"/>
  <c r="I9" i="2" s="1"/>
  <c r="J9" i="2" s="1"/>
  <c r="G8" i="2"/>
  <c r="I8" i="2" s="1"/>
  <c r="J8" i="2" s="1"/>
  <c r="I7" i="2"/>
  <c r="J7" i="2" s="1"/>
  <c r="G7" i="2"/>
  <c r="G6" i="2"/>
  <c r="I6" i="2" s="1"/>
  <c r="J6" i="2" s="1"/>
  <c r="G5" i="2"/>
  <c r="I5" i="2" s="1"/>
  <c r="J5" i="2" s="1"/>
  <c r="G4" i="2"/>
  <c r="I4" i="2" s="1"/>
  <c r="J4" i="2" s="1"/>
  <c r="I3" i="2"/>
  <c r="J3" i="2" s="1"/>
  <c r="G3" i="2"/>
  <c r="G2" i="2"/>
  <c r="I2" i="2" s="1"/>
  <c r="B9" i="4" l="1"/>
  <c r="B6" i="4"/>
  <c r="B5" i="4"/>
  <c r="J2" i="2"/>
  <c r="B4" i="4" l="1"/>
  <c r="B3" i="4"/>
</calcChain>
</file>

<file path=xl/sharedStrings.xml><?xml version="1.0" encoding="utf-8"?>
<sst xmlns="http://schemas.openxmlformats.org/spreadsheetml/2006/main" count="122" uniqueCount="88">
  <si>
    <t>PAYROLL ANALYST PORTFOLIO STARTER</t>
  </si>
  <si>
    <t>Purpose</t>
  </si>
  <si>
    <t>A practice project using fictional data only. Do not add employer or real employee information.</t>
  </si>
  <si>
    <t>Project 1</t>
  </si>
  <si>
    <t>Reconcile payroll register vs. expected pay; flag exceptions; summarize variance.</t>
  </si>
  <si>
    <t>Project 2</t>
  </si>
  <si>
    <t>Track payroll queries and SLA due dates using synthetic case data.</t>
  </si>
  <si>
    <t>How to use</t>
  </si>
  <si>
    <t>Review the Payroll Register and Case Tracker sheets; inspect formulas; create a pivot table or dashboard.</t>
  </si>
  <si>
    <t>Important</t>
  </si>
  <si>
    <t>This is a learning template, not a statutory payroll calculator. Tax and deduction values are illustrative only.</t>
  </si>
  <si>
    <t>Portfolio deliverables</t>
  </si>
  <si>
    <t>1) Screenshot dashboard 2) One-page case study 3) 3 insights and recommendations 4) Short explanation of checks.</t>
  </si>
  <si>
    <t>Interview story</t>
  </si>
  <si>
    <t>Explain the problem, validation logic, exceptions identified, control recommendations, and limitations.</t>
  </si>
  <si>
    <t>Employee ID</t>
  </si>
  <si>
    <t>Department</t>
  </si>
  <si>
    <t>Pay Period</t>
  </si>
  <si>
    <t>Base Pay (₹)</t>
  </si>
  <si>
    <t>Allowances (₹)</t>
  </si>
  <si>
    <t>Deductions (₹)</t>
  </si>
  <si>
    <t>Expected Net Pay (₹)</t>
  </si>
  <si>
    <t>Processed Net Pay (₹)</t>
  </si>
  <si>
    <t>Variance (₹)</t>
  </si>
  <si>
    <t>Review Status</t>
  </si>
  <si>
    <t>EMP001</t>
  </si>
  <si>
    <t>Operations</t>
  </si>
  <si>
    <t>Oct-2026</t>
  </si>
  <si>
    <t>EMP002</t>
  </si>
  <si>
    <t>Finance</t>
  </si>
  <si>
    <t>EMP003</t>
  </si>
  <si>
    <t>HR</t>
  </si>
  <si>
    <t>EMP004</t>
  </si>
  <si>
    <t>EMP005</t>
  </si>
  <si>
    <t>Technology</t>
  </si>
  <si>
    <t>EMP006</t>
  </si>
  <si>
    <t>EMP007</t>
  </si>
  <si>
    <t>EMP008</t>
  </si>
  <si>
    <t>EMP009</t>
  </si>
  <si>
    <t>EMP010</t>
  </si>
  <si>
    <t>EMP011</t>
  </si>
  <si>
    <t>EMP012</t>
  </si>
  <si>
    <t>Case ID</t>
  </si>
  <si>
    <t>Category</t>
  </si>
  <si>
    <t>Priority</t>
  </si>
  <si>
    <t>Received Date</t>
  </si>
  <si>
    <t>SLA (Days)</t>
  </si>
  <si>
    <t>Due Date</t>
  </si>
  <si>
    <t>Resolved Date</t>
  </si>
  <si>
    <t>Status</t>
  </si>
  <si>
    <t>Resolution Days</t>
  </si>
  <si>
    <t>SLA Result</t>
  </si>
  <si>
    <t>CASE001</t>
  </si>
  <si>
    <t>Net pay discrepancy</t>
  </si>
  <si>
    <t>High</t>
  </si>
  <si>
    <t>Resolved</t>
  </si>
  <si>
    <t>CASE002</t>
  </si>
  <si>
    <t>Compensation change</t>
  </si>
  <si>
    <t>Medium</t>
  </si>
  <si>
    <t>CASE003</t>
  </si>
  <si>
    <t>Deduction query</t>
  </si>
  <si>
    <t>Low</t>
  </si>
  <si>
    <t>Open</t>
  </si>
  <si>
    <t>CASE004</t>
  </si>
  <si>
    <t>Overpayment review</t>
  </si>
  <si>
    <t>CASE005</t>
  </si>
  <si>
    <t>Leave / absence impact</t>
  </si>
  <si>
    <t>In Progress</t>
  </si>
  <si>
    <t>CASE006</t>
  </si>
  <si>
    <t>Payroll adjustment</t>
  </si>
  <si>
    <t>CASE007</t>
  </si>
  <si>
    <t>Payslip request</t>
  </si>
  <si>
    <t>CASE008</t>
  </si>
  <si>
    <t>Tax data query</t>
  </si>
  <si>
    <t>PAYROLL RECONCILIATION SUMMARY</t>
  </si>
  <si>
    <t>Value</t>
  </si>
  <si>
    <t>Employees reviewed</t>
  </si>
  <si>
    <t>Matched records</t>
  </si>
  <si>
    <t>Records to investigate</t>
  </si>
  <si>
    <t>Total absolute variance (₹)</t>
  </si>
  <si>
    <t>Net variance (₹)</t>
  </si>
  <si>
    <t>Cases tracked</t>
  </si>
  <si>
    <t>Resolved cases</t>
  </si>
  <si>
    <t>SLA breaches</t>
  </si>
  <si>
    <t>Pending cases</t>
  </si>
  <si>
    <t>Portfolio narrative prompt</t>
  </si>
  <si>
    <t>Write 3 observations and 2 control recommendations after reviewing results.</t>
  </si>
  <si>
    <t>Net Variance (₹)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</si>
</sst>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\₹#,##0.00;[Red]\(\₹#,##0.00\)"/>
    <numFmt numFmtId="166" formatCode="dd\-mmm\-yyyy"/>
    <numFmt numFmtId="167" formatCode="\₹#,##0.00"/>
  </numFmts>
  <fonts count="6" x14ac:knownFonts="1">
    <font>
      <sz val="11"/>
      <color theme="1"/>
      <name val="Calibri"/>
      <family val="2"/>
      <scheme val="minor"/>
    </font>
    <font>
      <b/>
      <sz val="10"/>
      <color rgb="FFFFFFFF"/>
      <name val="Calibri"/>
    </font>
    <font>
      <sz val="10"/>
      <color rgb="FF202A34"/>
      <name val="Calibri"/>
    </font>
    <font>
      <b/>
      <sz val="10"/>
      <color rgb="FF202A34"/>
      <name val="Calibri"/>
    </font>
    <font>
      <b/>
      <sz val="14"/>
      <color rgb="FFFFFFFF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6324F"/>
      </patternFill>
    </fill>
  </fills>
  <borders count="3">
    <border>
      <left/>
      <right/>
      <top/>
      <bottom/>
      <diagonal/>
    </border>
    <border>
      <left/>
      <right/>
      <top/>
      <bottom style="thin">
        <color rgb="FFD8E1E8"/>
      </bottom>
      <diagonal/>
    </border>
    <border>
      <left/>
      <right/>
      <top/>
      <bottom style="thin">
        <color rgb="FFD8E1E8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1" xfId="0" applyFont="1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165" fontId="2" fillId="0" borderId="1" xfId="0" applyNumberFormat="1" applyFont="1" applyBorder="1" applyAlignment="1">
      <alignment vertical="top" wrapText="1"/>
    </xf>
    <xf numFmtId="166" fontId="2" fillId="0" borderId="1" xfId="0" applyNumberFormat="1" applyFont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5" fillId="2" borderId="0" xfId="0" applyFont="1" applyFill="1"/>
    <xf numFmtId="167" fontId="0" fillId="0" borderId="0" xfId="0" applyNumberFormat="1"/>
    <xf numFmtId="0" fontId="4" fillId="2" borderId="1" xfId="0" applyFont="1" applyFill="1" applyBorder="1" applyAlignment="1">
      <alignment vertical="top" wrapText="1"/>
    </xf>
    <xf numFmtId="0" fontId="0" fillId="0" borderId="2" xfId="0" applyBorder="1"/>
  </cellXfs>
  <cellStyles count="1">
    <cellStyle name="Normal" xfId="0" builtinId="0"/>
  </cellStyles>
  <dxfs count="4">
    <dxf>
      <fill>
        <patternFill patternType="solid">
          <fgColor rgb="FFE2F0D9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FCE4D6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Net Payroll Variance by Department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'Dept Variance'!$B$1</c:f>
              <c:strCache>
                <c:ptCount val="1"/>
                <c:pt idx="0">
                  <c:v>Net Variance (₹)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'Dept Variance'!$A$2:$A$5</c:f>
              <c:strCache>
                <c:ptCount val="4"/>
                <c:pt idx="0">
                  <c:v>Operations</c:v>
                </c:pt>
                <c:pt idx="1">
                  <c:v>Finance</c:v>
                </c:pt>
                <c:pt idx="2">
                  <c:v>HR</c:v>
                </c:pt>
                <c:pt idx="3">
                  <c:v>Technology</c:v>
                </c:pt>
              </c:strCache>
            </c:strRef>
          </c:cat>
          <c:val>
            <c:numRef>
              <c:f>'Dept Variance'!$B$2:$B$5</c:f>
              <c:numCache>
                <c:formatCode>\₹#,##0.00</c:formatCode>
                <c:ptCount val="4"/>
                <c:pt idx="0">
                  <c:v>500</c:v>
                </c:pt>
                <c:pt idx="1">
                  <c:v>-1000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71D-4FD9-8D14-7BDEF09A24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Department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Variance (₹)</a:t>
                </a:r>
              </a:p>
            </c:rich>
          </c:tx>
          <c:overlay val="1"/>
        </c:title>
        <c:numFmt formatCode="\₹#,##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1</xdr:row>
      <xdr:rowOff>0</xdr:rowOff>
    </xdr:from>
    <xdr:ext cx="4680000" cy="25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ayrollRegisterTable" displayName="PayrollRegisterTable" ref="A1:J13">
  <autoFilter ref="A1:J13" xr:uid="{00000000-0009-0000-0100-000001000000}"/>
  <tableColumns count="10">
    <tableColumn id="1" xr3:uid="{00000000-0010-0000-0000-000001000000}" name="Employee ID"/>
    <tableColumn id="2" xr3:uid="{00000000-0010-0000-0000-000002000000}" name="Department"/>
    <tableColumn id="3" xr3:uid="{00000000-0010-0000-0000-000003000000}" name="Pay Period"/>
    <tableColumn id="4" xr3:uid="{00000000-0010-0000-0000-000004000000}" name="Base Pay (₹)"/>
    <tableColumn id="5" xr3:uid="{00000000-0010-0000-0000-000005000000}" name="Allowances (₹)"/>
    <tableColumn id="6" xr3:uid="{00000000-0010-0000-0000-000006000000}" name="Deductions (₹)"/>
    <tableColumn id="7" xr3:uid="{00000000-0010-0000-0000-000007000000}" name="Expected Net Pay (₹)"/>
    <tableColumn id="8" xr3:uid="{00000000-0010-0000-0000-000008000000}" name="Processed Net Pay (₹)"/>
    <tableColumn id="9" xr3:uid="{00000000-0010-0000-0000-000009000000}" name="Variance (₹)"/>
    <tableColumn id="10" xr3:uid="{00000000-0010-0000-0000-00000A000000}" name="Review Statu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CaseTrackerTable" displayName="CaseTrackerTable" ref="A1:J9">
  <autoFilter ref="A1:J9" xr:uid="{00000000-0009-0000-0100-000002000000}"/>
  <tableColumns count="10">
    <tableColumn id="1" xr3:uid="{00000000-0010-0000-0100-000001000000}" name="Case ID"/>
    <tableColumn id="2" xr3:uid="{00000000-0010-0000-0100-000002000000}" name="Category"/>
    <tableColumn id="3" xr3:uid="{00000000-0010-0000-0100-000003000000}" name="Priority"/>
    <tableColumn id="4" xr3:uid="{00000000-0010-0000-0100-000004000000}" name="Received Date"/>
    <tableColumn id="5" xr3:uid="{00000000-0010-0000-0100-000005000000}" name="SLA (Days)"/>
    <tableColumn id="6" xr3:uid="{00000000-0010-0000-0100-000006000000}" name="Due Date"/>
    <tableColumn id="7" xr3:uid="{00000000-0010-0000-0100-000007000000}" name="Resolved Date"/>
    <tableColumn id="8" xr3:uid="{00000000-0010-0000-0100-000008000000}" name="Status"/>
    <tableColumn id="9" xr3:uid="{00000000-0010-0000-0100-000009000000}" name="Resolution Days"/>
    <tableColumn id="10" xr3:uid="{00000000-0010-0000-0100-00000A000000}" name="SLA Resul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showGridLines="0" workbookViewId="0">
      <pane ySplit="1" topLeftCell="A2" activePane="bottomLeft" state="frozen"/>
      <selection pane="bottomLeft" activeCell="B2" sqref="B2"/>
    </sheetView>
  </sheetViews>
  <sheetFormatPr defaultRowHeight="14.5" x14ac:dyDescent="0.35"/>
  <cols>
    <col min="1" max="1" width="25" customWidth="1"/>
    <col min="2" max="2" width="100" customWidth="1"/>
  </cols>
  <sheetData>
    <row r="1" spans="1:2" ht="28" customHeight="1" x14ac:dyDescent="0.35">
      <c r="A1" s="8" t="s">
        <v>0</v>
      </c>
      <c r="B1" s="9"/>
    </row>
    <row r="2" spans="1:2" x14ac:dyDescent="0.35">
      <c r="A2" s="1" t="s">
        <v>1</v>
      </c>
      <c r="B2" s="1" t="s">
        <v>2</v>
      </c>
    </row>
    <row r="3" spans="1:2" x14ac:dyDescent="0.35">
      <c r="A3" s="1" t="s">
        <v>3</v>
      </c>
      <c r="B3" s="1" t="s">
        <v>4</v>
      </c>
    </row>
    <row r="4" spans="1:2" x14ac:dyDescent="0.35">
      <c r="A4" s="1" t="s">
        <v>5</v>
      </c>
      <c r="B4" s="1" t="s">
        <v>6</v>
      </c>
    </row>
    <row r="5" spans="1:2" x14ac:dyDescent="0.35">
      <c r="A5" s="1" t="s">
        <v>7</v>
      </c>
      <c r="B5" s="1" t="s">
        <v>8</v>
      </c>
    </row>
    <row r="6" spans="1:2" x14ac:dyDescent="0.35">
      <c r="A6" s="1" t="s">
        <v>9</v>
      </c>
      <c r="B6" s="1" t="s">
        <v>10</v>
      </c>
    </row>
    <row r="7" spans="1:2" x14ac:dyDescent="0.35">
      <c r="A7" s="1" t="s">
        <v>11</v>
      </c>
      <c r="B7" s="1" t="s">
        <v>12</v>
      </c>
    </row>
    <row r="8" spans="1:2" x14ac:dyDescent="0.35">
      <c r="A8" s="1" t="s">
        <v>13</v>
      </c>
      <c r="B8" s="1" t="s">
        <v>14</v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3"/>
  <sheetViews>
    <sheetView showGridLines="0" workbookViewId="0">
      <pane ySplit="1" topLeftCell="A2" activePane="bottomLeft" state="frozen"/>
      <selection pane="bottomLeft" activeCell="E8" sqref="E8"/>
    </sheetView>
  </sheetViews>
  <sheetFormatPr defaultRowHeight="14.5" x14ac:dyDescent="0.35"/>
  <cols>
    <col min="1" max="3" width="13" customWidth="1"/>
    <col min="4" max="4" width="14" customWidth="1"/>
    <col min="5" max="6" width="16" customWidth="1"/>
    <col min="7" max="7" width="22" customWidth="1"/>
    <col min="8" max="8" width="23" customWidth="1"/>
    <col min="9" max="9" width="14" customWidth="1"/>
    <col min="10" max="10" width="34" customWidth="1"/>
  </cols>
  <sheetData>
    <row r="1" spans="1:10" ht="30" customHeight="1" x14ac:dyDescent="0.35">
      <c r="A1" s="2" t="s">
        <v>15</v>
      </c>
      <c r="B1" s="2" t="s">
        <v>16</v>
      </c>
      <c r="C1" s="2" t="s">
        <v>17</v>
      </c>
      <c r="D1" s="2" t="s">
        <v>18</v>
      </c>
      <c r="E1" s="2" t="s">
        <v>19</v>
      </c>
      <c r="F1" s="2" t="s">
        <v>20</v>
      </c>
      <c r="G1" s="2" t="s">
        <v>21</v>
      </c>
      <c r="H1" s="2" t="s">
        <v>22</v>
      </c>
      <c r="I1" s="2" t="s">
        <v>23</v>
      </c>
      <c r="J1" s="2" t="s">
        <v>24</v>
      </c>
    </row>
    <row r="2" spans="1:10" x14ac:dyDescent="0.35">
      <c r="A2" s="1" t="s">
        <v>25</v>
      </c>
      <c r="B2" s="1" t="s">
        <v>26</v>
      </c>
      <c r="C2" s="1" t="s">
        <v>27</v>
      </c>
      <c r="D2" s="3">
        <v>42000</v>
      </c>
      <c r="E2" s="3">
        <v>3500</v>
      </c>
      <c r="F2" s="3">
        <v>4200</v>
      </c>
      <c r="G2" s="3">
        <f t="shared" ref="G2:G13" si="0">D2+E2-F2</f>
        <v>41300</v>
      </c>
      <c r="H2" s="3">
        <v>41300</v>
      </c>
      <c r="I2" s="3">
        <f t="shared" ref="I2:I13" si="1">H2-G2</f>
        <v>0</v>
      </c>
      <c r="J2" s="1" t="str">
        <f t="shared" ref="J2:J13" si="2">IF(ABS(I2)&lt;1,"Matched","Investigate")</f>
        <v>Matched</v>
      </c>
    </row>
    <row r="3" spans="1:10" x14ac:dyDescent="0.35">
      <c r="A3" s="1" t="s">
        <v>28</v>
      </c>
      <c r="B3" s="1" t="s">
        <v>29</v>
      </c>
      <c r="C3" s="1" t="s">
        <v>27</v>
      </c>
      <c r="D3" s="3">
        <v>51000</v>
      </c>
      <c r="E3" s="3">
        <v>4000</v>
      </c>
      <c r="F3" s="3">
        <v>5600</v>
      </c>
      <c r="G3" s="3">
        <f t="shared" si="0"/>
        <v>49400</v>
      </c>
      <c r="H3" s="3">
        <v>48900</v>
      </c>
      <c r="I3" s="3">
        <f t="shared" si="1"/>
        <v>-500</v>
      </c>
      <c r="J3" s="1" t="str">
        <f t="shared" si="2"/>
        <v>Investigate</v>
      </c>
    </row>
    <row r="4" spans="1:10" x14ac:dyDescent="0.35">
      <c r="A4" s="1" t="s">
        <v>30</v>
      </c>
      <c r="B4" s="1" t="s">
        <v>31</v>
      </c>
      <c r="C4" s="1" t="s">
        <v>27</v>
      </c>
      <c r="D4" s="3">
        <v>38500</v>
      </c>
      <c r="E4" s="3">
        <v>2500</v>
      </c>
      <c r="F4" s="3">
        <v>3100</v>
      </c>
      <c r="G4" s="3">
        <f t="shared" si="0"/>
        <v>37900</v>
      </c>
      <c r="H4" s="3">
        <v>37900</v>
      </c>
      <c r="I4" s="3">
        <f t="shared" si="1"/>
        <v>0</v>
      </c>
      <c r="J4" s="1" t="str">
        <f t="shared" si="2"/>
        <v>Matched</v>
      </c>
    </row>
    <row r="5" spans="1:10" x14ac:dyDescent="0.35">
      <c r="A5" s="1" t="s">
        <v>32</v>
      </c>
      <c r="B5" s="1" t="s">
        <v>26</v>
      </c>
      <c r="C5" s="1" t="s">
        <v>27</v>
      </c>
      <c r="D5" s="3">
        <v>47000</v>
      </c>
      <c r="E5" s="3">
        <v>3000</v>
      </c>
      <c r="F5" s="3">
        <v>4700</v>
      </c>
      <c r="G5" s="3">
        <f t="shared" si="0"/>
        <v>45300</v>
      </c>
      <c r="H5" s="3">
        <v>46300</v>
      </c>
      <c r="I5" s="3">
        <f t="shared" si="1"/>
        <v>1000</v>
      </c>
      <c r="J5" s="1" t="str">
        <f t="shared" si="2"/>
        <v>Investigate</v>
      </c>
    </row>
    <row r="6" spans="1:10" x14ac:dyDescent="0.35">
      <c r="A6" s="1" t="s">
        <v>33</v>
      </c>
      <c r="B6" s="1" t="s">
        <v>34</v>
      </c>
      <c r="C6" s="1" t="s">
        <v>27</v>
      </c>
      <c r="D6" s="3">
        <v>62000</v>
      </c>
      <c r="E6" s="3">
        <v>5000</v>
      </c>
      <c r="F6" s="3">
        <v>7200</v>
      </c>
      <c r="G6" s="3">
        <f t="shared" si="0"/>
        <v>59800</v>
      </c>
      <c r="H6" s="3">
        <v>59800</v>
      </c>
      <c r="I6" s="3">
        <f t="shared" si="1"/>
        <v>0</v>
      </c>
      <c r="J6" s="1" t="str">
        <f t="shared" si="2"/>
        <v>Matched</v>
      </c>
    </row>
    <row r="7" spans="1:10" x14ac:dyDescent="0.35">
      <c r="A7" s="1" t="s">
        <v>35</v>
      </c>
      <c r="B7" s="1" t="s">
        <v>29</v>
      </c>
      <c r="C7" s="1" t="s">
        <v>27</v>
      </c>
      <c r="D7" s="3">
        <v>44500</v>
      </c>
      <c r="E7" s="3">
        <v>2800</v>
      </c>
      <c r="F7" s="3">
        <v>3900</v>
      </c>
      <c r="G7" s="3">
        <f t="shared" si="0"/>
        <v>43400</v>
      </c>
      <c r="H7" s="3">
        <v>42900</v>
      </c>
      <c r="I7" s="3">
        <f t="shared" si="1"/>
        <v>-500</v>
      </c>
      <c r="J7" s="1" t="str">
        <f t="shared" si="2"/>
        <v>Investigate</v>
      </c>
    </row>
    <row r="8" spans="1:10" x14ac:dyDescent="0.35">
      <c r="A8" s="1" t="s">
        <v>36</v>
      </c>
      <c r="B8" s="1" t="s">
        <v>34</v>
      </c>
      <c r="C8" s="1" t="s">
        <v>27</v>
      </c>
      <c r="D8" s="3">
        <v>58000</v>
      </c>
      <c r="E8" s="3">
        <v>4500</v>
      </c>
      <c r="F8" s="3">
        <v>6800</v>
      </c>
      <c r="G8" s="3">
        <f t="shared" si="0"/>
        <v>55700</v>
      </c>
      <c r="H8" s="3">
        <v>55700</v>
      </c>
      <c r="I8" s="3">
        <f t="shared" si="1"/>
        <v>0</v>
      </c>
      <c r="J8" s="1" t="str">
        <f t="shared" si="2"/>
        <v>Matched</v>
      </c>
    </row>
    <row r="9" spans="1:10" x14ac:dyDescent="0.35">
      <c r="A9" s="1" t="s">
        <v>37</v>
      </c>
      <c r="B9" s="1" t="s">
        <v>31</v>
      </c>
      <c r="C9" s="1" t="s">
        <v>27</v>
      </c>
      <c r="D9" s="3">
        <v>36000</v>
      </c>
      <c r="E9" s="3">
        <v>2200</v>
      </c>
      <c r="F9" s="3">
        <v>2900</v>
      </c>
      <c r="G9" s="3">
        <f t="shared" si="0"/>
        <v>35300</v>
      </c>
      <c r="H9" s="3">
        <v>35300</v>
      </c>
      <c r="I9" s="3">
        <f t="shared" si="1"/>
        <v>0</v>
      </c>
      <c r="J9" s="1" t="str">
        <f t="shared" si="2"/>
        <v>Matched</v>
      </c>
    </row>
    <row r="10" spans="1:10" x14ac:dyDescent="0.35">
      <c r="A10" s="1" t="s">
        <v>38</v>
      </c>
      <c r="B10" s="1" t="s">
        <v>26</v>
      </c>
      <c r="C10" s="1" t="s">
        <v>27</v>
      </c>
      <c r="D10" s="3">
        <v>49500</v>
      </c>
      <c r="E10" s="3">
        <v>3200</v>
      </c>
      <c r="F10" s="3">
        <v>5100</v>
      </c>
      <c r="G10" s="3">
        <f t="shared" si="0"/>
        <v>47600</v>
      </c>
      <c r="H10" s="3">
        <v>46600</v>
      </c>
      <c r="I10" s="3">
        <f t="shared" si="1"/>
        <v>-1000</v>
      </c>
      <c r="J10" s="1" t="str">
        <f t="shared" si="2"/>
        <v>Investigate</v>
      </c>
    </row>
    <row r="11" spans="1:10" x14ac:dyDescent="0.35">
      <c r="A11" s="1" t="s">
        <v>39</v>
      </c>
      <c r="B11" s="1" t="s">
        <v>29</v>
      </c>
      <c r="C11" s="1" t="s">
        <v>27</v>
      </c>
      <c r="D11" s="3">
        <v>53000</v>
      </c>
      <c r="E11" s="3">
        <v>4100</v>
      </c>
      <c r="F11" s="3">
        <v>5900</v>
      </c>
      <c r="G11" s="3">
        <f t="shared" si="0"/>
        <v>51200</v>
      </c>
      <c r="H11" s="3">
        <v>51200</v>
      </c>
      <c r="I11" s="3">
        <f t="shared" si="1"/>
        <v>0</v>
      </c>
      <c r="J11" s="1" t="str">
        <f t="shared" si="2"/>
        <v>Matched</v>
      </c>
    </row>
    <row r="12" spans="1:10" x14ac:dyDescent="0.35">
      <c r="A12" s="1" t="s">
        <v>40</v>
      </c>
      <c r="B12" s="1" t="s">
        <v>34</v>
      </c>
      <c r="C12" s="1" t="s">
        <v>27</v>
      </c>
      <c r="D12" s="3">
        <v>67500</v>
      </c>
      <c r="E12" s="3">
        <v>5200</v>
      </c>
      <c r="F12" s="3">
        <v>7900</v>
      </c>
      <c r="G12" s="3">
        <f t="shared" si="0"/>
        <v>64800</v>
      </c>
      <c r="H12" s="3">
        <v>64800</v>
      </c>
      <c r="I12" s="3">
        <f t="shared" si="1"/>
        <v>0</v>
      </c>
      <c r="J12" s="1" t="str">
        <f t="shared" si="2"/>
        <v>Matched</v>
      </c>
    </row>
    <row r="13" spans="1:10" x14ac:dyDescent="0.35">
      <c r="A13" s="1" t="s">
        <v>41</v>
      </c>
      <c r="B13" s="1" t="s">
        <v>26</v>
      </c>
      <c r="C13" s="1" t="s">
        <v>27</v>
      </c>
      <c r="D13" s="3">
        <v>40500</v>
      </c>
      <c r="E13" s="3">
        <v>2600</v>
      </c>
      <c r="F13" s="3">
        <v>3700</v>
      </c>
      <c r="G13" s="3">
        <f t="shared" si="0"/>
        <v>39400</v>
      </c>
      <c r="H13" s="3">
        <v>39900</v>
      </c>
      <c r="I13" s="3">
        <f t="shared" si="1"/>
        <v>500</v>
      </c>
      <c r="J13" s="1" t="str">
        <f t="shared" si="2"/>
        <v>Investigate</v>
      </c>
    </row>
  </sheetData>
  <conditionalFormatting sqref="I2:I13">
    <cfRule type="cellIs" dxfId="3" priority="1" operator="notEqual">
      <formula>0</formula>
    </cfRule>
  </conditionalFormatting>
  <conditionalFormatting sqref="J2:J13">
    <cfRule type="cellIs" dxfId="2" priority="2" operator="equal">
      <formula>"Investigate"</formula>
    </cfRule>
  </conditionalFormatting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9"/>
  <sheetViews>
    <sheetView showGridLines="0" workbookViewId="0">
      <pane ySplit="1" topLeftCell="A2" activePane="bottomLeft" state="frozen"/>
      <selection pane="bottomLeft" activeCell="J1" sqref="J1"/>
    </sheetView>
  </sheetViews>
  <sheetFormatPr defaultRowHeight="14.5" x14ac:dyDescent="0.35"/>
  <cols>
    <col min="1" max="1" width="13" customWidth="1"/>
    <col min="2" max="2" width="24" customWidth="1"/>
    <col min="3" max="3" width="13" customWidth="1"/>
    <col min="4" max="4" width="15" customWidth="1"/>
    <col min="5" max="6" width="13" customWidth="1"/>
    <col min="7" max="7" width="15" customWidth="1"/>
    <col min="8" max="8" width="13" customWidth="1"/>
    <col min="9" max="9" width="21" customWidth="1"/>
    <col min="10" max="10" width="34" customWidth="1"/>
  </cols>
  <sheetData>
    <row r="1" spans="1:10" ht="30" customHeight="1" x14ac:dyDescent="0.35">
      <c r="A1" s="2" t="s">
        <v>42</v>
      </c>
      <c r="B1" s="2" t="s">
        <v>43</v>
      </c>
      <c r="C1" s="2" t="s">
        <v>44</v>
      </c>
      <c r="D1" s="2" t="s">
        <v>45</v>
      </c>
      <c r="E1" s="2" t="s">
        <v>46</v>
      </c>
      <c r="F1" s="2" t="s">
        <v>47</v>
      </c>
      <c r="G1" s="2" t="s">
        <v>48</v>
      </c>
      <c r="H1" s="2" t="s">
        <v>49</v>
      </c>
      <c r="I1" s="2" t="s">
        <v>50</v>
      </c>
      <c r="J1" s="2" t="s">
        <v>51</v>
      </c>
    </row>
    <row r="2" spans="1:10" x14ac:dyDescent="0.35">
      <c r="A2" s="1" t="s">
        <v>52</v>
      </c>
      <c r="B2" s="1" t="s">
        <v>53</v>
      </c>
      <c r="C2" s="1" t="s">
        <v>54</v>
      </c>
      <c r="D2" s="4">
        <v>46296</v>
      </c>
      <c r="E2" s="1">
        <v>2</v>
      </c>
      <c r="F2" s="4">
        <f t="shared" ref="F2:F9" si="0">D2+E2</f>
        <v>46298</v>
      </c>
      <c r="G2" s="4">
        <v>46297</v>
      </c>
      <c r="H2" s="1" t="s">
        <v>55</v>
      </c>
      <c r="I2" s="1">
        <f t="shared" ref="I2:I9" si="1">IF(G2="","",G2-D2)</f>
        <v>1</v>
      </c>
      <c r="J2" s="1" t="str">
        <f t="shared" ref="J2:J9" si="2">IF(H2&lt;&gt;"Resolved","Pending",IF(I2&lt;=E2,"Within SLA","Breach"))</f>
        <v>Within SLA</v>
      </c>
    </row>
    <row r="3" spans="1:10" x14ac:dyDescent="0.35">
      <c r="A3" s="1" t="s">
        <v>56</v>
      </c>
      <c r="B3" s="1" t="s">
        <v>57</v>
      </c>
      <c r="C3" s="1" t="s">
        <v>58</v>
      </c>
      <c r="D3" s="4">
        <v>46297</v>
      </c>
      <c r="E3" s="1">
        <v>3</v>
      </c>
      <c r="F3" s="4">
        <f t="shared" si="0"/>
        <v>46300</v>
      </c>
      <c r="G3" s="4">
        <v>46300</v>
      </c>
      <c r="H3" s="1" t="s">
        <v>55</v>
      </c>
      <c r="I3" s="1">
        <f t="shared" si="1"/>
        <v>3</v>
      </c>
      <c r="J3" s="1" t="str">
        <f t="shared" si="2"/>
        <v>Within SLA</v>
      </c>
    </row>
    <row r="4" spans="1:10" x14ac:dyDescent="0.35">
      <c r="A4" s="1" t="s">
        <v>59</v>
      </c>
      <c r="B4" s="1" t="s">
        <v>60</v>
      </c>
      <c r="C4" s="1" t="s">
        <v>61</v>
      </c>
      <c r="D4" s="4">
        <v>46299</v>
      </c>
      <c r="E4" s="1">
        <v>5</v>
      </c>
      <c r="F4" s="4">
        <f t="shared" si="0"/>
        <v>46304</v>
      </c>
      <c r="G4" s="4"/>
      <c r="H4" s="1" t="s">
        <v>62</v>
      </c>
      <c r="I4" s="1" t="str">
        <f t="shared" si="1"/>
        <v/>
      </c>
      <c r="J4" s="1" t="str">
        <f t="shared" si="2"/>
        <v>Pending</v>
      </c>
    </row>
    <row r="5" spans="1:10" x14ac:dyDescent="0.35">
      <c r="A5" s="1" t="s">
        <v>63</v>
      </c>
      <c r="B5" s="1" t="s">
        <v>64</v>
      </c>
      <c r="C5" s="1" t="s">
        <v>54</v>
      </c>
      <c r="D5" s="4">
        <v>46300</v>
      </c>
      <c r="E5" s="1">
        <v>2</v>
      </c>
      <c r="F5" s="4">
        <f t="shared" si="0"/>
        <v>46302</v>
      </c>
      <c r="G5" s="4">
        <v>46303</v>
      </c>
      <c r="H5" s="1" t="s">
        <v>55</v>
      </c>
      <c r="I5" s="1">
        <f t="shared" si="1"/>
        <v>3</v>
      </c>
      <c r="J5" s="1" t="str">
        <f t="shared" si="2"/>
        <v>Breach</v>
      </c>
    </row>
    <row r="6" spans="1:10" x14ac:dyDescent="0.35">
      <c r="A6" s="1" t="s">
        <v>65</v>
      </c>
      <c r="B6" s="1" t="s">
        <v>66</v>
      </c>
      <c r="C6" s="1" t="s">
        <v>58</v>
      </c>
      <c r="D6" s="4">
        <v>46303</v>
      </c>
      <c r="E6" s="1">
        <v>3</v>
      </c>
      <c r="F6" s="4">
        <f t="shared" si="0"/>
        <v>46306</v>
      </c>
      <c r="G6" s="4"/>
      <c r="H6" s="1" t="s">
        <v>67</v>
      </c>
      <c r="I6" s="1" t="str">
        <f t="shared" si="1"/>
        <v/>
      </c>
      <c r="J6" s="1" t="str">
        <f t="shared" si="2"/>
        <v>Pending</v>
      </c>
    </row>
    <row r="7" spans="1:10" x14ac:dyDescent="0.35">
      <c r="A7" s="1" t="s">
        <v>68</v>
      </c>
      <c r="B7" s="1" t="s">
        <v>69</v>
      </c>
      <c r="C7" s="1" t="s">
        <v>54</v>
      </c>
      <c r="D7" s="4">
        <v>46305</v>
      </c>
      <c r="E7" s="1">
        <v>2</v>
      </c>
      <c r="F7" s="4">
        <f t="shared" si="0"/>
        <v>46307</v>
      </c>
      <c r="G7" s="4">
        <v>46306</v>
      </c>
      <c r="H7" s="1" t="s">
        <v>55</v>
      </c>
      <c r="I7" s="1">
        <f t="shared" si="1"/>
        <v>1</v>
      </c>
      <c r="J7" s="1" t="str">
        <f t="shared" si="2"/>
        <v>Within SLA</v>
      </c>
    </row>
    <row r="8" spans="1:10" x14ac:dyDescent="0.35">
      <c r="A8" s="1" t="s">
        <v>70</v>
      </c>
      <c r="B8" s="1" t="s">
        <v>71</v>
      </c>
      <c r="C8" s="1" t="s">
        <v>61</v>
      </c>
      <c r="D8" s="4">
        <v>46307</v>
      </c>
      <c r="E8" s="1">
        <v>5</v>
      </c>
      <c r="F8" s="4">
        <f t="shared" si="0"/>
        <v>46312</v>
      </c>
      <c r="G8" s="4">
        <v>46309</v>
      </c>
      <c r="H8" s="1" t="s">
        <v>55</v>
      </c>
      <c r="I8" s="1">
        <f t="shared" si="1"/>
        <v>2</v>
      </c>
      <c r="J8" s="1" t="str">
        <f t="shared" si="2"/>
        <v>Within SLA</v>
      </c>
    </row>
    <row r="9" spans="1:10" x14ac:dyDescent="0.35">
      <c r="A9" s="1" t="s">
        <v>72</v>
      </c>
      <c r="B9" s="1" t="s">
        <v>73</v>
      </c>
      <c r="C9" s="1" t="s">
        <v>58</v>
      </c>
      <c r="D9" s="4">
        <v>46309</v>
      </c>
      <c r="E9" s="1">
        <v>3</v>
      </c>
      <c r="F9" s="4">
        <f t="shared" si="0"/>
        <v>46312</v>
      </c>
      <c r="G9" s="4"/>
      <c r="H9" s="1" t="s">
        <v>62</v>
      </c>
      <c r="I9" s="1" t="str">
        <f t="shared" si="1"/>
        <v/>
      </c>
      <c r="J9" s="1" t="str">
        <f t="shared" si="2"/>
        <v>Pending</v>
      </c>
    </row>
  </sheetData>
  <conditionalFormatting sqref="J2:J9">
    <cfRule type="cellIs" dxfId="1" priority="1" operator="equal">
      <formula>"Breach"</formula>
    </cfRule>
    <cfRule type="cellIs" dxfId="0" priority="2" operator="equal">
      <formula>"Within SLA"</formula>
    </cfRule>
  </conditionalFormatting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2"/>
  <sheetViews>
    <sheetView showGridLines="0" workbookViewId="0">
      <pane ySplit="1" topLeftCell="A4" activePane="bottomLeft" state="frozen"/>
      <selection pane="bottomLeft" activeCell="C9" sqref="C9"/>
    </sheetView>
  </sheetViews>
  <sheetFormatPr defaultRowHeight="14.5" x14ac:dyDescent="0.35"/>
  <cols>
    <col min="1" max="1" width="32" customWidth="1"/>
    <col min="2" max="2" width="34" customWidth="1"/>
  </cols>
  <sheetData>
    <row r="1" spans="1:2" ht="30" customHeight="1" x14ac:dyDescent="0.35">
      <c r="A1" s="2" t="s">
        <v>74</v>
      </c>
      <c r="B1" s="2" t="s">
        <v>75</v>
      </c>
    </row>
    <row r="2" spans="1:2" x14ac:dyDescent="0.35">
      <c r="A2" s="5" t="s">
        <v>76</v>
      </c>
      <c r="B2" s="1">
        <f>COUNTA('Payroll Register'!A2:A13)</f>
        <v>12</v>
      </c>
    </row>
    <row r="3" spans="1:2" x14ac:dyDescent="0.35">
      <c r="A3" s="5" t="s">
        <v>77</v>
      </c>
      <c r="B3" s="1">
        <f>COUNTIF('Payroll Register'!J2:J13,"Matched")</f>
        <v>7</v>
      </c>
    </row>
    <row r="4" spans="1:2" x14ac:dyDescent="0.35">
      <c r="A4" s="5" t="s">
        <v>78</v>
      </c>
      <c r="B4" s="1">
        <f>COUNTIF('Payroll Register'!J2:J13,"Investigate")</f>
        <v>5</v>
      </c>
    </row>
    <row r="5" spans="1:2" x14ac:dyDescent="0.35">
      <c r="A5" s="5" t="s">
        <v>79</v>
      </c>
      <c r="B5" s="1">
        <f>SUMPRODUCT(ABS('Payroll Register'!I2:I13))</f>
        <v>3500</v>
      </c>
    </row>
    <row r="6" spans="1:2" x14ac:dyDescent="0.35">
      <c r="A6" s="5" t="s">
        <v>80</v>
      </c>
      <c r="B6" s="1">
        <f>SUM('Payroll Register'!I2:I13)</f>
        <v>-500</v>
      </c>
    </row>
    <row r="7" spans="1:2" x14ac:dyDescent="0.35">
      <c r="A7" s="5" t="s">
        <v>81</v>
      </c>
      <c r="B7" s="1">
        <f>COUNTA('Case Tracker'!A2:A9)</f>
        <v>8</v>
      </c>
    </row>
    <row r="8" spans="1:2" x14ac:dyDescent="0.35">
      <c r="A8" s="5" t="s">
        <v>82</v>
      </c>
      <c r="B8" s="1">
        <f>COUNTIF('Case Tracker'!H2:H9,"Resolved")</f>
        <v>5</v>
      </c>
    </row>
    <row r="9" spans="1:2" x14ac:dyDescent="0.35">
      <c r="A9" s="5" t="s">
        <v>83</v>
      </c>
      <c r="B9" s="1">
        <f>COUNTIF('Case Tracker'!J2:J9,"Breach")</f>
        <v>1</v>
      </c>
    </row>
    <row r="10" spans="1:2" x14ac:dyDescent="0.35">
      <c r="A10" s="5" t="s">
        <v>84</v>
      </c>
      <c r="B10" s="1">
        <f>COUNTIF('Case Tracker'!J2:J9,"Pending")</f>
        <v>3</v>
      </c>
    </row>
    <row r="11" spans="1:2" x14ac:dyDescent="0.35">
      <c r="A11" s="5"/>
      <c r="B11" s="1"/>
    </row>
    <row r="12" spans="1:2" ht="26" x14ac:dyDescent="0.35">
      <c r="A12" s="5" t="s">
        <v>85</v>
      </c>
      <c r="B12" s="1" t="s">
        <v>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5"/>
  <sheetViews>
    <sheetView tabSelected="1" workbookViewId="0">
      <selection activeCell="L12" sqref="L12"/>
    </sheetView>
  </sheetViews>
  <sheetFormatPr defaultRowHeight="14.5" x14ac:dyDescent="0.35"/>
  <cols>
    <col min="1" max="1" width="24" customWidth="1"/>
    <col min="2" max="2" width="22" customWidth="1"/>
  </cols>
  <sheetData>
    <row r="1" spans="1:2" x14ac:dyDescent="0.35">
      <c r="A1" s="6" t="s">
        <v>16</v>
      </c>
      <c r="B1" s="6" t="s">
        <v>87</v>
      </c>
    </row>
    <row r="2" spans="1:2" x14ac:dyDescent="0.35">
      <c r="A2" t="s">
        <v>26</v>
      </c>
      <c r="B2" s="7">
        <v>500</v>
      </c>
    </row>
    <row r="3" spans="1:2" x14ac:dyDescent="0.35">
      <c r="A3" t="s">
        <v>29</v>
      </c>
      <c r="B3" s="7">
        <v>-1000</v>
      </c>
    </row>
    <row r="4" spans="1:2" x14ac:dyDescent="0.35">
      <c r="A4" t="s">
        <v>31</v>
      </c>
      <c r="B4" s="7">
        <v>0</v>
      </c>
    </row>
    <row r="5" spans="1:2" x14ac:dyDescent="0.35">
      <c r="A5" t="s">
        <v>34</v>
      </c>
      <c r="B5" s="7">
        <v>0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Read Me</vt:lpstr>
      <vt:lpstr>Payroll Register</vt:lpstr>
      <vt:lpstr>Case Tracker</vt:lpstr>
      <vt:lpstr>Summary</vt:lpstr>
      <vt:lpstr>Dept Variance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ranjith ramesh</cp:lastModifiedBy>
  <dcterms:created xsi:type="dcterms:W3CDTF">2026-10-25T09:29:42Z</dcterms:created>
  <dcterms:modified xsi:type="dcterms:W3CDTF">2026-10-25T12:46:38Z</dcterms:modified>
</cp:coreProperties>
</file>